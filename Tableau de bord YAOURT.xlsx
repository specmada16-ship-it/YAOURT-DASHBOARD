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bord" sheetId="1" r:id="rId5"/>
  </sheets>
  <definedNames/>
  <calcPr/>
</workbook>
</file>

<file path=xl/sharedStrings.xml><?xml version="1.0" encoding="utf-8"?>
<sst xmlns="http://schemas.openxmlformats.org/spreadsheetml/2006/main" count="34" uniqueCount="34">
  <si>
    <t>Indicateur</t>
  </si>
  <si>
    <t>Valeur</t>
  </si>
  <si>
    <t>Lait</t>
  </si>
  <si>
    <t>Ferment</t>
  </si>
  <si>
    <t>Sucre</t>
  </si>
  <si>
    <t>Prix pack pots</t>
  </si>
  <si>
    <t>Nombre de pots du pack</t>
  </si>
  <si>
    <t>Prix pack alu</t>
  </si>
  <si>
    <t>Surface alu pack</t>
  </si>
  <si>
    <t>Surface alu par pot</t>
  </si>
  <si>
    <t>Pots par lot</t>
  </si>
  <si>
    <t>Pertes (%)</t>
  </si>
  <si>
    <t>Prix de vente client régulier</t>
  </si>
  <si>
    <t>Prix de vente Direct</t>
  </si>
  <si>
    <t>Coût pot unitaire</t>
  </si>
  <si>
    <t>Coût alu unitaire</t>
  </si>
  <si>
    <t>Coût total lot avant pertes</t>
  </si>
  <si>
    <t>Coût total lot avec pertes</t>
  </si>
  <si>
    <t>Coût de revient par pot</t>
  </si>
  <si>
    <t>Bénéfice par pot RABETSY</t>
  </si>
  <si>
    <t>Bénéfice lot RABETSY</t>
  </si>
  <si>
    <t>Bénéfice par pot PRIX Direct</t>
  </si>
  <si>
    <t>Bénéfice lot à PRIX Direct</t>
  </si>
  <si>
    <t>Historique du Benefice total</t>
  </si>
  <si>
    <t>Revenue brute</t>
  </si>
  <si>
    <t xml:space="preserve">R.B calcul dernier lot </t>
  </si>
  <si>
    <t>N°Pot rabetsy</t>
  </si>
  <si>
    <t>N°Pot Vendu</t>
  </si>
  <si>
    <t>Total</t>
  </si>
  <si>
    <t>Historique de dépense</t>
  </si>
  <si>
    <t xml:space="preserve">Total des depenses effectuées </t>
  </si>
  <si>
    <t xml:space="preserve">Autre Depense </t>
  </si>
  <si>
    <t>Prix Autocollants /Pot</t>
  </si>
  <si>
    <t>Total /Lot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</si>
</sst>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b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76A5AF"/>
        <bgColor rgb="FF76A5AF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CC0000"/>
        <bgColor rgb="FFCC0000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</fills>
  <borders count="9">
    <border/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000000"/>
      </top>
    </border>
    <border>
      <right style="thin">
        <color rgb="FF666666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3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4" fillId="0" fontId="2" numFmtId="1" xfId="0" applyBorder="1" applyFont="1" applyNumberFormat="1"/>
    <xf borderId="6" fillId="0" fontId="2" numFmtId="1" xfId="0" applyBorder="1" applyFont="1" applyNumberFormat="1"/>
    <xf borderId="0" fillId="0" fontId="2" numFmtId="0" xfId="0" applyAlignment="1" applyFont="1">
      <alignment readingOrder="0"/>
    </xf>
    <xf borderId="0" fillId="0" fontId="2" numFmtId="1" xfId="0" applyFont="1" applyNumberFormat="1"/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1" fillId="5" fontId="1" numFmtId="0" xfId="0" applyAlignment="1" applyBorder="1" applyFill="1" applyFont="1">
      <alignment readingOrder="0"/>
    </xf>
    <xf borderId="0" fillId="6" fontId="2" numFmtId="0" xfId="0" applyAlignment="1" applyFill="1" applyFont="1">
      <alignment readingOrder="0" shrinkToFit="0" wrapText="1"/>
    </xf>
    <xf borderId="0" fillId="7" fontId="2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3" fillId="0" fontId="2" numFmtId="164" xfId="0" applyAlignment="1" applyBorder="1" applyFont="1" applyNumberFormat="1">
      <alignment horizontal="center" readingOrder="0"/>
    </xf>
    <xf borderId="0" fillId="9" fontId="2" numFmtId="0" xfId="0" applyFill="1" applyFont="1"/>
    <xf borderId="0" fillId="9" fontId="2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Border="1" applyFont="1"/>
    <xf borderId="5" fillId="10" fontId="2" numFmtId="0" xfId="0" applyAlignment="1" applyBorder="1" applyFill="1" applyFont="1">
      <alignment readingOrder="0"/>
    </xf>
    <xf borderId="6" fillId="10" fontId="2" numFmtId="0" xfId="0" applyBorder="1" applyFont="1"/>
    <xf borderId="1" fillId="11" fontId="5" numFmtId="0" xfId="0" applyAlignment="1" applyBorder="1" applyFill="1" applyFont="1">
      <alignment horizontal="left" readingOrder="0"/>
    </xf>
    <xf borderId="3" fillId="0" fontId="2" numFmtId="164" xfId="0" applyAlignment="1" applyBorder="1" applyFont="1" applyNumberFormat="1">
      <alignment horizontal="center" readingOrder="0" shrinkToFit="0" wrapText="1"/>
    </xf>
    <xf borderId="3" fillId="0" fontId="2" numFmtId="165" xfId="0" applyAlignment="1" applyBorder="1" applyFont="1" applyNumberFormat="1">
      <alignment horizontal="center" readingOrder="0"/>
    </xf>
    <xf borderId="5" fillId="12" fontId="2" numFmtId="0" xfId="0" applyAlignment="1" applyBorder="1" applyFill="1" applyFont="1">
      <alignment readingOrder="0"/>
    </xf>
    <xf borderId="6" fillId="12" fontId="2" numFmtId="0" xfId="0" applyAlignment="1" applyBorder="1" applyFont="1">
      <alignment readingOrder="0"/>
    </xf>
    <xf borderId="0" fillId="0" fontId="2" numFmtId="0" xfId="0" applyFont="1"/>
    <xf borderId="1" fillId="13" fontId="1" numFmtId="0" xfId="0" applyAlignment="1" applyBorder="1" applyFill="1" applyFont="1">
      <alignment horizontal="left" readingOrder="0"/>
    </xf>
    <xf borderId="3" fillId="0" fontId="2" numFmtId="0" xfId="0" applyBorder="1" applyFont="1"/>
    <xf borderId="5" fillId="14" fontId="2" numFmtId="0" xfId="0" applyAlignment="1" applyBorder="1" applyFill="1" applyFont="1">
      <alignment readingOrder="0"/>
    </xf>
    <xf borderId="6" fillId="1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3.25"/>
    <col customWidth="1" min="3" max="3" width="17.0"/>
  </cols>
  <sheetData>
    <row r="1" ht="29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7900.0</v>
      </c>
    </row>
    <row r="3">
      <c r="A3" s="4" t="s">
        <v>3</v>
      </c>
      <c r="B3" s="5">
        <v>900.0</v>
      </c>
    </row>
    <row r="4">
      <c r="A4" s="4" t="s">
        <v>4</v>
      </c>
      <c r="B4" s="5">
        <v>1100.0</v>
      </c>
    </row>
    <row r="5">
      <c r="A5" s="4" t="s">
        <v>5</v>
      </c>
      <c r="B5" s="5">
        <v>2500.0</v>
      </c>
    </row>
    <row r="6">
      <c r="A6" s="4" t="s">
        <v>6</v>
      </c>
      <c r="B6" s="5">
        <v>50.0</v>
      </c>
    </row>
    <row r="7">
      <c r="A7" s="4" t="s">
        <v>7</v>
      </c>
      <c r="B7" s="5">
        <v>8000.0</v>
      </c>
    </row>
    <row r="8">
      <c r="A8" s="4" t="s">
        <v>8</v>
      </c>
      <c r="B8" s="5">
        <v>60000.0</v>
      </c>
    </row>
    <row r="9">
      <c r="A9" s="4" t="s">
        <v>9</v>
      </c>
      <c r="B9" s="5">
        <v>57.0</v>
      </c>
    </row>
    <row r="10">
      <c r="A10" s="4" t="s">
        <v>10</v>
      </c>
      <c r="B10" s="5">
        <v>28.0</v>
      </c>
    </row>
    <row r="11">
      <c r="A11" s="4" t="s">
        <v>11</v>
      </c>
      <c r="B11" s="5">
        <v>0.0</v>
      </c>
    </row>
    <row r="12">
      <c r="A12" s="4" t="s">
        <v>12</v>
      </c>
      <c r="B12" s="5">
        <v>520.0</v>
      </c>
    </row>
    <row r="13">
      <c r="A13" s="6" t="s">
        <v>13</v>
      </c>
      <c r="B13" s="7">
        <v>600.0</v>
      </c>
    </row>
    <row r="14">
      <c r="A14" s="8"/>
      <c r="B14" s="9"/>
    </row>
    <row r="15">
      <c r="A15" s="10" t="s">
        <v>14</v>
      </c>
      <c r="B15" s="11">
        <f>B5/B6</f>
        <v>50</v>
      </c>
    </row>
    <row r="16">
      <c r="A16" s="4" t="s">
        <v>15</v>
      </c>
      <c r="B16" s="12">
        <f>B7/B8*B9 </f>
        <v>7.6</v>
      </c>
    </row>
    <row r="17">
      <c r="A17" s="4" t="s">
        <v>16</v>
      </c>
      <c r="B17" s="12">
        <f>B2+B3+B4+B46+(B15*B10)+(B16*B10)</f>
        <v>11512.8</v>
      </c>
    </row>
    <row r="18">
      <c r="A18" s="4" t="s">
        <v>17</v>
      </c>
      <c r="B18" s="12">
        <f>B17*(1+B11) </f>
        <v>11512.8</v>
      </c>
    </row>
    <row r="19">
      <c r="A19" s="4" t="s">
        <v>18</v>
      </c>
      <c r="B19" s="12">
        <f>B18/B10</f>
        <v>411.1714286</v>
      </c>
    </row>
    <row r="20">
      <c r="A20" s="4" t="s">
        <v>19</v>
      </c>
      <c r="B20" s="12">
        <f>B12-B19 </f>
        <v>108.8285714</v>
      </c>
    </row>
    <row r="21">
      <c r="A21" s="4" t="s">
        <v>20</v>
      </c>
      <c r="B21" s="12">
        <f>B20*B10</f>
        <v>3047.2</v>
      </c>
    </row>
    <row r="22">
      <c r="A22" s="4" t="s">
        <v>21</v>
      </c>
      <c r="B22" s="12">
        <f>B13-B19 </f>
        <v>188.8285714</v>
      </c>
    </row>
    <row r="23">
      <c r="A23" s="6" t="s">
        <v>22</v>
      </c>
      <c r="B23" s="13">
        <f>B22*B10</f>
        <v>5287.2</v>
      </c>
    </row>
    <row r="24">
      <c r="A24" s="14"/>
      <c r="B24" s="15"/>
    </row>
    <row r="25">
      <c r="A25" s="16" t="s">
        <v>23</v>
      </c>
      <c r="B25" s="17">
        <f>B33-B39 </f>
        <v>-10350</v>
      </c>
    </row>
    <row r="26">
      <c r="A26" s="18"/>
      <c r="B26" s="18"/>
      <c r="C26" s="19"/>
      <c r="D26" s="14"/>
      <c r="E26" s="20"/>
    </row>
    <row r="27">
      <c r="A27" s="21" t="s">
        <v>24</v>
      </c>
      <c r="B27" s="9"/>
      <c r="C27" s="22" t="s">
        <v>25</v>
      </c>
      <c r="D27" s="23" t="s">
        <v>26</v>
      </c>
      <c r="E27" s="24" t="s">
        <v>27</v>
      </c>
    </row>
    <row r="28">
      <c r="A28" s="25">
        <v>46180.0</v>
      </c>
      <c r="B28" s="5">
        <v>10400.0</v>
      </c>
      <c r="C28" s="26">
        <f>(D28*B12)+(E28*B13)</f>
        <v>15200</v>
      </c>
      <c r="D28" s="27">
        <v>20.0</v>
      </c>
      <c r="E28" s="27">
        <v>8.0</v>
      </c>
    </row>
    <row r="29">
      <c r="A29" s="28"/>
      <c r="B29" s="14"/>
    </row>
    <row r="30">
      <c r="A30" s="28"/>
      <c r="B30" s="29"/>
    </row>
    <row r="31">
      <c r="A31" s="28"/>
      <c r="B31" s="29"/>
    </row>
    <row r="32">
      <c r="A32" s="28"/>
      <c r="B32" s="29"/>
    </row>
    <row r="33">
      <c r="A33" s="30" t="s">
        <v>28</v>
      </c>
      <c r="B33" s="31">
        <f>SUM(B28:B30)</f>
        <v>10400</v>
      </c>
    </row>
    <row r="34">
      <c r="A34" s="14"/>
    </row>
    <row r="35">
      <c r="A35" s="32" t="s">
        <v>29</v>
      </c>
      <c r="B35" s="9"/>
    </row>
    <row r="36">
      <c r="A36" s="33">
        <v>46180.0</v>
      </c>
      <c r="B36" s="5">
        <v>9237.0</v>
      </c>
    </row>
    <row r="37">
      <c r="A37" s="34">
        <v>46272.0</v>
      </c>
      <c r="B37" s="5">
        <v>11513.0</v>
      </c>
    </row>
    <row r="38">
      <c r="A38" s="34"/>
      <c r="B38" s="5"/>
    </row>
    <row r="39">
      <c r="A39" s="35" t="s">
        <v>30</v>
      </c>
      <c r="B39" s="36">
        <f>SUM(B36:B38)</f>
        <v>20750</v>
      </c>
    </row>
    <row r="40">
      <c r="A40" s="37"/>
      <c r="B40" s="37"/>
    </row>
    <row r="41">
      <c r="A41" s="38" t="s">
        <v>31</v>
      </c>
      <c r="B41" s="9"/>
    </row>
    <row r="42">
      <c r="A42" s="4" t="s">
        <v>32</v>
      </c>
      <c r="B42" s="5"/>
    </row>
    <row r="43">
      <c r="A43" s="4"/>
      <c r="B43" s="5"/>
    </row>
    <row r="44">
      <c r="A44" s="39"/>
      <c r="B44" s="29"/>
    </row>
    <row r="45">
      <c r="A45" s="39"/>
      <c r="B45" s="29"/>
    </row>
    <row r="46">
      <c r="A46" s="40" t="s">
        <v>33</v>
      </c>
      <c r="B46" s="41">
        <f>SUM(B42:B45)*B10</f>
        <v>0</v>
      </c>
    </row>
  </sheetData>
  <mergeCells count="4">
    <mergeCell ref="A14:B14"/>
    <mergeCell ref="A41:B41"/>
    <mergeCell ref="A35:B35"/>
    <mergeCell ref="A27:B27"/>
  </mergeCells>
  <drawing r:id="rId1"/>
</worksheet>
</file>